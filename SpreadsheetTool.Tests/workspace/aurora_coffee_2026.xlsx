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sharedStrings.xml" ContentType="application/vnd.openxmlformats-officedocument.spreadsheetml.sharedStrings+xml"/>
  <Override PartName="/xl/styles.xml" ContentType="application/vnd.openxmlformats-officedocument.spreadsheetml.style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 /></Relationships>
</file>

<file path=xl/workbook.xml><?xml version="1.0" encoding="utf-8"?>
<workbook xmlns:r="http://schemas.openxmlformats.org/officeDocument/2006/relationships" xmlns="http://schemas.openxmlformats.org/spreadsheetml/2006/main">
  <sheets>
    <sheet name="Vendite" sheetId="1" r:id="rId1"/>
    <sheet name="Riepilogo" sheetId="2" r:id="rId2"/>
    <sheet name="Personale" sheetId="3" r:id="rId3"/>
    <sheet name="Grafici" sheetId="4" r:id="rId4"/>
  </sheets>
  <definedNames>
    <definedName name="_xlnm._FilterDatabase" localSheetId="0" hidden="1">'Vendite'!$A$1:$D$55</definedName>
    <definedName name="MargineLordo">0.62</definedName>
  </definedNames>
</workbook>
</file>

<file path=xl/sharedStrings.xml><?xml version="1.0" encoding="utf-8"?>
<sst xmlns="http://schemas.openxmlformats.org/spreadsheetml/2006/main" count="35" uniqueCount="35">
  <si>
    <t>Mese</t>
  </si>
  <si>
    <t>Locale</t>
  </si>
  <si>
    <t>Categoria</t>
  </si>
  <si>
    <t>Importo</t>
  </si>
  <si>
    <t>Torino Centro</t>
  </si>
  <si>
    <t>Milano Navigli</t>
  </si>
  <si>
    <t>Bologna D'Azeglio</t>
  </si>
  <si>
    <t>Gennaio</t>
  </si>
  <si>
    <t>Caffetteria</t>
  </si>
  <si>
    <t>Pasticceria</t>
  </si>
  <si>
    <t>Febbraio</t>
  </si>
  <si>
    <t>Merchandising</t>
  </si>
  <si>
    <t>Marzo</t>
  </si>
  <si>
    <t>Aprile</t>
  </si>
  <si>
    <t>Maggio</t>
  </si>
  <si>
    <t>Giugno</t>
  </si>
  <si>
    <t>Target mensile</t>
  </si>
  <si>
    <t>Totale semestre</t>
  </si>
  <si>
    <t>KPI di Riepilogo - Aurora Coffee S.r.l.</t>
  </si>
  <si>
    <t>Primo Semestre 2026</t>
  </si>
  <si>
    <t/>
  </si>
  <si>
    <t>Costo personale mensile totale</t>
  </si>
  <si>
    <t>Incidenza % sui ricavi</t>
  </si>
  <si>
    <t>Ricavi totali semestre</t>
  </si>
  <si>
    <t>Ricavi per locale:</t>
  </si>
  <si>
    <t>Quota % per locale:</t>
  </si>
  <si>
    <t>Migliore mese per ricavi</t>
  </si>
  <si>
    <t>Margine lordo stimato</t>
  </si>
  <si>
    <t>Ruolo</t>
  </si>
  <si>
    <t>N. addetti</t>
  </si>
  <si>
    <t>Costo mensile per addetto</t>
  </si>
  <si>
    <t>Costo mensile totale</t>
  </si>
  <si>
    <t>Barista</t>
  </si>
  <si>
    <t>Pasticciere</t>
  </si>
  <si>
    <t>Addetto sala part-time</t>
  </si>
</sst>
</file>

<file path=xl/styles.xml><?xml version="1.0" encoding="utf-8"?>
<styleSheet xmlns="http://schemas.openxmlformats.org/spreadsheetml/2006/main">
  <numFmts count="1">
    <numFmt numFmtId="164" formatCode="€ #,##0"/>
  </numFmts>
  <fonts count="2">
    <font>
      <sz val="11"/>
      <name val="Calibri"/>
    </font>
    <font>
      <b/>
      <sz val="11"/>
      <color rgb="FFFFFFFF"/>
      <name val="Calibri"/>
    </font>
  </fonts>
  <fills count="3">
    <fill>
      <patternFill patternType="none"/>
    </fill>
    <fill>
      <patternFill patternType="gray125"/>
    </fill>
    <fill>
      <patternFill patternType="solid">
        <fgColor rgb="FF2278D4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1" xfId="0" applyFont="1" applyFill="1" applyBorder="1"/>
    <xf numFmtId="0" fontId="0" fillId="0" borderId="1" xfId="0" applyBorder="1"/>
    <xf numFmtId="164" fontId="0" fillId="0" borderId="1" xfId="0" applyNumberFormat="1" applyBorder="1"/>
  </cellXfs>
  <cellStyles count="1">
    <cellStyle name="Normal" xfId="0" builtinId="0"/>
  </cellStyles>
  <dxfs count="2">
    <dxf>
      <fill>
        <patternFill patternType="solid">
          <bgColor rgb="FF00FF00"/>
        </patternFill>
      </fill>
    </dxf>
    <dxf>
      <fill>
        <patternFill patternType="solid">
          <bgColor rgb="FF92D050"/>
        </patternFill>
      </fill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 /><Relationship Id="rId2" Type="http://schemas.openxmlformats.org/officeDocument/2006/relationships/worksheet" Target="worksheets/sheet2.xml" /><Relationship Id="rId3" Type="http://schemas.openxmlformats.org/officeDocument/2006/relationships/worksheet" Target="worksheets/sheet3.xml" /><Relationship Id="rId4" Type="http://schemas.openxmlformats.org/officeDocument/2006/relationships/worksheet" Target="worksheets/sheet4.xml" /><Relationship Id="rId5" Type="http://schemas.openxmlformats.org/officeDocument/2006/relationships/sharedStrings" Target="sharedStrings.xml" /><Relationship Id="rId6" Type="http://schemas.openxmlformats.org/officeDocument/2006/relationships/styles" Target="styles.xml" /></Relationships>
</file>

<file path=xl/charts/chart1.xml><?xml version="1.0" encoding="UTF-8" standalone="yes"?>
<c:chartSpace xmlns:c="http://schemas.openxmlformats.org/drawingml/2006/chart" xmlns:a="http://schemas.openxmlformats.org/drawingml/2006/main" xmlns:r="http://schemas.openxmlformats.org/officeDocument/2006/relationships">
  <c:lang val="en-US"/>
  <c:chart>
    <c:title><c:tx><c:rich><a:bodyPr/><a:lstStyle/><a:p><a:r><a:t>Chart 1</a:t></a:r></a:p></c:rich></c:tx><c:overlay val="0"/></c:title>
    <c:autoTitleDeleted val="0"/>
    <c:plotArea>
      <c:layout/>
      <c:barChart><c:barDir val="col"/><c:grouping val="clustered"/><c:varyColors val="0"/>
        <c:ser><c:idx val="0"/><c:order val="0"/><c:val><c:numRef><c:f>Vendite!F2:I8</c:f><c:numCache><c:formatCode>General</c:formatCode><c:ptCount val="21"/><c:pt idx="0"><c:v>22800</c:v></c:pt><c:pt idx="1"><c:v>29500</c:v></c:pt><c:pt idx="2"><c:v>19400</c:v></c:pt><c:pt idx="3"><c:v>23800</c:v></c:pt><c:pt idx="4"><c:v>30400</c:v></c:pt><c:pt idx="5"><c:v>20800</c:v></c:pt><c:pt idx="6"><c:v>24300</c:v></c:pt><c:pt idx="7"><c:v>29800</c:v></c:pt><c:pt idx="8"><c:v>21000</c:v></c:pt><c:pt idx="9"><c:v>25800</c:v></c:pt><c:pt idx="10"><c:v>32100</c:v></c:pt><c:pt idx="11"><c:v>22600</c:v></c:pt><c:pt idx="12"><c:v>27400</c:v></c:pt><c:pt idx="13"><c:v>34500</c:v></c:pt><c:pt idx="14"><c:v>23700</c:v></c:pt><c:pt idx="15"><c:v>27800</c:v></c:pt><c:pt idx="16"><c:v>36500</c:v></c:pt><c:pt idx="17"><c:v>24000</c:v></c:pt><c:pt idx="18"><c:v>32000</c:v></c:pt><c:pt idx="19"><c:v>40000</c:v></c:pt><c:pt idx="20"><c:v>27000</c:v></c:pt></c:numCache></c:numCache></c:numRef></c:val></c:ser>
        <c:axId val="1"/><c:axId val="2"/></c:barChart>
      <c:catAx><c:axId val="1"/><c:scaling><c:orientation val="minMax"/></c:scaling><c:delete val="0"/><c:axPos val="b"/><c:crossAx val="2"/></c:catAx>
      <c:valAx><c:axId val="2"/><c:scaling><c:orientation val="minMax"/></c:scaling><c:delete val="0"/><c:axPos val="l"/><c:crossAx val="1"/></c:valAx>
    </c:plotArea>
    <c:legend><c:legendPos val="b"/></c:legend>
    <c:plotVisOnly val="1"/>
  </c:chart>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t>Chart 2</a:t>
            </a:r>
          </a:p>
        </c:rich>
      </c:tx>
      <c:overlay val="0"/>
    </c:title>
    <c:autoTitleDeleted val="0"/>
    <c:plotArea>
      <c:layout/>
      <c:pieChart>
        <c:varyColors val="1"/>
        <c:ser>
          <c:idx val="0"/>
          <c:order val="0"/>
          <c:val>
            <c:numRef>
              <c:f>Vendite!G9:I9</c:f>
              <c:numCache>
                <c:formatCode>General</c:formatCode>
                <c:ptCount val="0"/>
              </c:numCache>
            </c:numRef>
          </c:val>
        </c:ser>
      </c:pieChart>
    </c:plotArea>
    <c:legend>
      <c:legendPos val="b"/>
    </c:legend>
    <c:plotVisOnly val="1"/>
  </c:chart>
</c:chartSpac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 /><Relationship Id="rId2" Type="http://schemas.openxmlformats.org/officeDocument/2006/relationships/chart" Target="../charts/chart2.xml" 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</xdr:col>
      <xdr:colOff>0</xdr:colOff>
      <xdr:row>2</xdr:row>
      <xdr:rowOff>0</xdr:rowOff>
    </xdr:from>
    <xdr:to>
      <xdr:col>10</xdr:col>
      <xdr:colOff>0</xdr:colOff>
      <xdr:row>20</xdr:row>
      <xdr:rowOff>0</xdr:rowOff>
    </xdr:to>
    <xdr:graphicFrame macro="">
      <xdr:nvGraphicFramePr>
        <xdr:cNvPr id="1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2</xdr:col>
      <xdr:colOff>0</xdr:colOff>
      <xdr:row>22</xdr:row>
      <xdr:rowOff>0</xdr:rowOff>
    </xdr:from>
    <xdr:to>
      <xdr:col>10</xdr:col>
      <xdr:colOff>0</xdr:colOff>
      <xdr:row>40</xdr:row>
      <xdr:rowOff>0</xdr:rowOff>
    </xdr:to>
    <xdr:graphicFrame macro="">
      <xdr:nvGraphicFramePr>
        <xdr:cNvPr id="2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ables/table1.xml><?xml version="1.0" encoding="utf-8"?>
<table xmlns:r="http://schemas.openxmlformats.org/officeDocument/2006/relationships" xmlns="http://schemas.openxmlformats.org/spreadsheetml/2006/main" id="1" name="Table1" displayName="Table1" ref="A1:D55" totalsRowShown="0">
  <autoFilter ref="A1:D55"/>
  <tableColumns count="4">
    <tableColumn id="1" name="Mese"/>
    <tableColumn id="2" name="Locale"/>
    <tableColumn id="3" name="Categoria"/>
    <tableColumn id="4" name="Importo"/>
  </tableColumns>
</tabl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table" Target="../tables/table1.xml" 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 /></Relationships>
</file>

<file path=xl/worksheets/sheet1.xml><?xml version="1.0" encoding="utf-8"?>
<worksheet xmlns:r="http://schemas.openxmlformats.org/officeDocument/2006/relationships" xmlns="http://schemas.openxmlformats.org/spreadsheetml/2006/main">
  <dimension ref="A1:I55"/>
  <cols>
    <col min="1" max="1" width="15" customWidth="1"/>
    <col min="2" max="2" width="20" customWidth="1"/>
    <col min="3" max="3" width="18" customWidth="1"/>
    <col min="4" max="4" width="15" customWidth="1"/>
    <col min="6" max="6" width="17" customWidth="1"/>
    <col min="7" max="7" width="15" customWidth="1"/>
    <col min="8" max="8" width="16" customWidth="1"/>
    <col min="9" max="9" width="19" customWidth="1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F1" t="s">
        <v>0</v>
      </c>
      <c r="G1" t="s">
        <v>4</v>
      </c>
      <c r="H1" t="s">
        <v>5</v>
      </c>
      <c r="I1" t="s">
        <v>6</v>
      </c>
    </row>
    <row r="2">
      <c r="A2" s="2" t="s">
        <v>7</v>
      </c>
      <c r="B2" s="2" t="s">
        <v>4</v>
      </c>
      <c r="C2" s="2" t="s">
        <v>8</v>
      </c>
      <c r="D2" s="3">
        <v>14500</v>
      </c>
      <c r="F2" t="s">
        <v>7</v>
      </c>
      <c r="G2">
        <v>22800</v>
      </c>
      <c r="H2">
        <v>29500</v>
      </c>
      <c r="I2">
        <v>19400</v>
      </c>
    </row>
    <row r="3">
      <c r="A3" s="2" t="s">
        <v>7</v>
      </c>
      <c r="B3" s="2" t="s">
        <v>4</v>
      </c>
      <c r="C3" s="2" t="s">
        <v>9</v>
      </c>
      <c r="D3" s="3">
        <v>6200</v>
      </c>
      <c r="F3" t="s">
        <v>10</v>
      </c>
      <c r="G3">
        <v>23800</v>
      </c>
      <c r="H3">
        <v>30400</v>
      </c>
      <c r="I3">
        <v>20800</v>
      </c>
    </row>
    <row r="4">
      <c r="A4" s="2" t="s">
        <v>7</v>
      </c>
      <c r="B4" s="2" t="s">
        <v>4</v>
      </c>
      <c r="C4" s="2" t="s">
        <v>11</v>
      </c>
      <c r="D4" s="3">
        <v>2100</v>
      </c>
      <c r="F4" t="s">
        <v>12</v>
      </c>
      <c r="G4">
        <v>24300</v>
      </c>
      <c r="H4">
        <v>29800</v>
      </c>
      <c r="I4">
        <v>21000</v>
      </c>
    </row>
    <row r="5">
      <c r="A5" s="2" t="s">
        <v>7</v>
      </c>
      <c r="B5" s="2" t="s">
        <v>5</v>
      </c>
      <c r="C5" s="2" t="s">
        <v>8</v>
      </c>
      <c r="D5" s="3">
        <v>17800</v>
      </c>
      <c r="F5" t="s">
        <v>13</v>
      </c>
      <c r="G5">
        <v>25800</v>
      </c>
      <c r="H5">
        <v>32100</v>
      </c>
      <c r="I5">
        <v>22600</v>
      </c>
    </row>
    <row r="6">
      <c r="A6" s="2" t="s">
        <v>7</v>
      </c>
      <c r="B6" s="2" t="s">
        <v>5</v>
      </c>
      <c r="C6" s="2" t="s">
        <v>9</v>
      </c>
      <c r="D6" s="3">
        <v>8300</v>
      </c>
      <c r="F6" t="s">
        <v>14</v>
      </c>
      <c r="G6">
        <v>27400</v>
      </c>
      <c r="H6">
        <v>34500</v>
      </c>
      <c r="I6">
        <v>23700</v>
      </c>
    </row>
    <row r="7">
      <c r="A7" s="2" t="s">
        <v>7</v>
      </c>
      <c r="B7" s="2" t="s">
        <v>5</v>
      </c>
      <c r="C7" s="2" t="s">
        <v>11</v>
      </c>
      <c r="D7" s="3">
        <v>3400</v>
      </c>
      <c r="F7" t="s">
        <v>15</v>
      </c>
      <c r="G7">
        <v>27800</v>
      </c>
      <c r="H7">
        <v>36500</v>
      </c>
      <c r="I7">
        <v>24000</v>
      </c>
    </row>
    <row r="8">
      <c r="A8" s="2" t="s">
        <v>7</v>
      </c>
      <c r="B8" s="2" t="s">
        <v>6</v>
      </c>
      <c r="C8" s="2" t="s">
        <v>8</v>
      </c>
      <c r="D8" s="3">
        <v>12100</v>
      </c>
      <c r="F8" t="s">
        <v>16</v>
      </c>
      <c r="G8">
        <v>32000</v>
      </c>
      <c r="H8">
        <v>40000</v>
      </c>
      <c r="I8">
        <v>27000</v>
      </c>
    </row>
    <row r="9">
      <c r="A9" s="2" t="s">
        <v>7</v>
      </c>
      <c r="B9" s="2" t="s">
        <v>6</v>
      </c>
      <c r="C9" s="2" t="s">
        <v>9</v>
      </c>
      <c r="D9" s="3">
        <v>5400</v>
      </c>
      <c r="F9" t="s">
        <v>17</v>
      </c>
      <c r="G9">
        <f>SUM(G2:G7)</f>
      </c>
      <c r="H9">
        <f>SUM(H2:H7)</f>
      </c>
      <c r="I9">
        <f>SUM(I2:I7)</f>
      </c>
    </row>
    <row r="10">
      <c r="A10" s="2" t="s">
        <v>7</v>
      </c>
      <c r="B10" s="2" t="s">
        <v>6</v>
      </c>
      <c r="C10" s="2" t="s">
        <v>11</v>
      </c>
      <c r="D10" s="3">
        <v>1900</v>
      </c>
    </row>
    <row r="11">
      <c r="A11" s="2" t="s">
        <v>10</v>
      </c>
      <c r="B11" s="2" t="s">
        <v>4</v>
      </c>
      <c r="C11" s="2" t="s">
        <v>8</v>
      </c>
      <c r="D11" s="3">
        <v>15200</v>
      </c>
    </row>
    <row r="12">
      <c r="A12" s="2" t="s">
        <v>10</v>
      </c>
      <c r="B12" s="2" t="s">
        <v>4</v>
      </c>
      <c r="C12" s="2" t="s">
        <v>9</v>
      </c>
      <c r="D12" s="3">
        <v>6800</v>
      </c>
    </row>
    <row r="13">
      <c r="A13" s="2" t="s">
        <v>10</v>
      </c>
      <c r="B13" s="2" t="s">
        <v>4</v>
      </c>
      <c r="C13" s="2" t="s">
        <v>11</v>
      </c>
      <c r="D13" s="3">
        <v>1800</v>
      </c>
    </row>
    <row r="14">
      <c r="A14" s="2" t="s">
        <v>10</v>
      </c>
      <c r="B14" s="2" t="s">
        <v>5</v>
      </c>
      <c r="C14" s="2" t="s">
        <v>8</v>
      </c>
      <c r="D14" s="3">
        <v>18100</v>
      </c>
    </row>
    <row r="15">
      <c r="A15" s="2" t="s">
        <v>10</v>
      </c>
      <c r="B15" s="2" t="s">
        <v>5</v>
      </c>
      <c r="C15" s="2" t="s">
        <v>9</v>
      </c>
      <c r="D15" s="3">
        <v>8700</v>
      </c>
    </row>
    <row r="16">
      <c r="A16" s="2" t="s">
        <v>10</v>
      </c>
      <c r="B16" s="2" t="s">
        <v>5</v>
      </c>
      <c r="C16" s="2" t="s">
        <v>11</v>
      </c>
      <c r="D16" s="3">
        <v>3600</v>
      </c>
    </row>
    <row r="17">
      <c r="A17" s="2" t="s">
        <v>10</v>
      </c>
      <c r="B17" s="2" t="s">
        <v>6</v>
      </c>
      <c r="C17" s="2" t="s">
        <v>8</v>
      </c>
      <c r="D17" s="3">
        <v>12800</v>
      </c>
    </row>
    <row r="18">
      <c r="A18" s="2" t="s">
        <v>10</v>
      </c>
      <c r="B18" s="2" t="s">
        <v>6</v>
      </c>
      <c r="C18" s="2" t="s">
        <v>9</v>
      </c>
      <c r="D18" s="3">
        <v>5900</v>
      </c>
    </row>
    <row r="19">
      <c r="A19" s="2" t="s">
        <v>10</v>
      </c>
      <c r="B19" s="2" t="s">
        <v>6</v>
      </c>
      <c r="C19" s="2" t="s">
        <v>11</v>
      </c>
      <c r="D19" s="3">
        <v>2100</v>
      </c>
    </row>
    <row r="20">
      <c r="A20" s="2" t="s">
        <v>12</v>
      </c>
      <c r="B20" s="2" t="s">
        <v>4</v>
      </c>
      <c r="C20" s="2" t="s">
        <v>8</v>
      </c>
      <c r="D20" s="3">
        <v>14800</v>
      </c>
    </row>
    <row r="21">
      <c r="A21" s="2" t="s">
        <v>12</v>
      </c>
      <c r="B21" s="2" t="s">
        <v>4</v>
      </c>
      <c r="C21" s="2" t="s">
        <v>9</v>
      </c>
      <c r="D21" s="3">
        <v>7100</v>
      </c>
    </row>
    <row r="22">
      <c r="A22" s="2" t="s">
        <v>12</v>
      </c>
      <c r="B22" s="2" t="s">
        <v>4</v>
      </c>
      <c r="C22" s="2" t="s">
        <v>11</v>
      </c>
      <c r="D22" s="3">
        <v>2400</v>
      </c>
    </row>
    <row r="23">
      <c r="A23" s="2" t="s">
        <v>12</v>
      </c>
      <c r="B23" s="2" t="s">
        <v>5</v>
      </c>
      <c r="C23" s="2" t="s">
        <v>8</v>
      </c>
      <c r="D23" s="3">
        <v>17500</v>
      </c>
    </row>
    <row r="24">
      <c r="A24" s="2" t="s">
        <v>12</v>
      </c>
      <c r="B24" s="2" t="s">
        <v>5</v>
      </c>
      <c r="C24" s="2" t="s">
        <v>9</v>
      </c>
      <c r="D24" s="3">
        <v>9100</v>
      </c>
    </row>
    <row r="25">
      <c r="A25" s="2" t="s">
        <v>12</v>
      </c>
      <c r="B25" s="2" t="s">
        <v>5</v>
      </c>
      <c r="C25" s="2" t="s">
        <v>11</v>
      </c>
      <c r="D25" s="3">
        <v>3200</v>
      </c>
    </row>
    <row r="26">
      <c r="A26" s="2" t="s">
        <v>12</v>
      </c>
      <c r="B26" s="2" t="s">
        <v>6</v>
      </c>
      <c r="C26" s="2" t="s">
        <v>8</v>
      </c>
      <c r="D26" s="3">
        <v>12600</v>
      </c>
    </row>
    <row r="27">
      <c r="A27" s="2" t="s">
        <v>12</v>
      </c>
      <c r="B27" s="2" t="s">
        <v>6</v>
      </c>
      <c r="C27" s="2" t="s">
        <v>9</v>
      </c>
      <c r="D27" s="3">
        <v>6100</v>
      </c>
    </row>
    <row r="28">
      <c r="A28" s="2" t="s">
        <v>12</v>
      </c>
      <c r="B28" s="2" t="s">
        <v>6</v>
      </c>
      <c r="C28" s="2" t="s">
        <v>11</v>
      </c>
      <c r="D28" s="3">
        <v>2300</v>
      </c>
    </row>
    <row r="29">
      <c r="A29" s="2" t="s">
        <v>13</v>
      </c>
      <c r="B29" s="2" t="s">
        <v>4</v>
      </c>
      <c r="C29" s="2" t="s">
        <v>8</v>
      </c>
      <c r="D29" s="3">
        <v>16300</v>
      </c>
    </row>
    <row r="30">
      <c r="A30" s="2" t="s">
        <v>13</v>
      </c>
      <c r="B30" s="2" t="s">
        <v>4</v>
      </c>
      <c r="C30" s="2" t="s">
        <v>9</v>
      </c>
      <c r="D30" s="3">
        <v>6900</v>
      </c>
    </row>
    <row r="31">
      <c r="A31" s="2" t="s">
        <v>13</v>
      </c>
      <c r="B31" s="2" t="s">
        <v>4</v>
      </c>
      <c r="C31" s="2" t="s">
        <v>11</v>
      </c>
      <c r="D31" s="3">
        <v>2600</v>
      </c>
    </row>
    <row r="32">
      <c r="A32" s="2" t="s">
        <v>13</v>
      </c>
      <c r="B32" s="2" t="s">
        <v>5</v>
      </c>
      <c r="C32" s="2" t="s">
        <v>8</v>
      </c>
      <c r="D32" s="3">
        <v>19200</v>
      </c>
    </row>
    <row r="33">
      <c r="A33" s="2" t="s">
        <v>13</v>
      </c>
      <c r="B33" s="2" t="s">
        <v>5</v>
      </c>
      <c r="C33" s="2" t="s">
        <v>9</v>
      </c>
      <c r="D33" s="3">
        <v>8800</v>
      </c>
    </row>
    <row r="34">
      <c r="A34" s="2" t="s">
        <v>13</v>
      </c>
      <c r="B34" s="2" t="s">
        <v>5</v>
      </c>
      <c r="C34" s="2" t="s">
        <v>11</v>
      </c>
      <c r="D34" s="3">
        <v>4100</v>
      </c>
    </row>
    <row r="35">
      <c r="A35" s="2" t="s">
        <v>13</v>
      </c>
      <c r="B35" s="2" t="s">
        <v>6</v>
      </c>
      <c r="C35" s="2" t="s">
        <v>8</v>
      </c>
      <c r="D35" s="3">
        <v>13900</v>
      </c>
    </row>
    <row r="36">
      <c r="A36" s="2" t="s">
        <v>13</v>
      </c>
      <c r="B36" s="2" t="s">
        <v>6</v>
      </c>
      <c r="C36" s="2" t="s">
        <v>9</v>
      </c>
      <c r="D36" s="3">
        <v>6300</v>
      </c>
    </row>
    <row r="37">
      <c r="A37" s="2" t="s">
        <v>13</v>
      </c>
      <c r="B37" s="2" t="s">
        <v>6</v>
      </c>
      <c r="C37" s="2" t="s">
        <v>11</v>
      </c>
      <c r="D37" s="3">
        <v>2400</v>
      </c>
    </row>
    <row r="38">
      <c r="A38" s="2" t="s">
        <v>14</v>
      </c>
      <c r="B38" s="2" t="s">
        <v>4</v>
      </c>
      <c r="C38" s="2" t="s">
        <v>8</v>
      </c>
      <c r="D38" s="3">
        <v>17100</v>
      </c>
    </row>
    <row r="39">
      <c r="A39" s="2" t="s">
        <v>14</v>
      </c>
      <c r="B39" s="2" t="s">
        <v>4</v>
      </c>
      <c r="C39" s="2" t="s">
        <v>9</v>
      </c>
      <c r="D39" s="3">
        <v>7400</v>
      </c>
    </row>
    <row r="40">
      <c r="A40" s="2" t="s">
        <v>14</v>
      </c>
      <c r="B40" s="2" t="s">
        <v>4</v>
      </c>
      <c r="C40" s="2" t="s">
        <v>11</v>
      </c>
      <c r="D40" s="3">
        <v>2900</v>
      </c>
    </row>
    <row r="41">
      <c r="A41" s="2" t="s">
        <v>14</v>
      </c>
      <c r="B41" s="2" t="s">
        <v>5</v>
      </c>
      <c r="C41" s="2" t="s">
        <v>8</v>
      </c>
      <c r="D41" s="3">
        <v>20400</v>
      </c>
    </row>
    <row r="42">
      <c r="A42" s="2" t="s">
        <v>14</v>
      </c>
      <c r="B42" s="2" t="s">
        <v>5</v>
      </c>
      <c r="C42" s="2" t="s">
        <v>9</v>
      </c>
      <c r="D42" s="3">
        <v>9400</v>
      </c>
    </row>
    <row r="43">
      <c r="A43" s="2" t="s">
        <v>14</v>
      </c>
      <c r="B43" s="2" t="s">
        <v>5</v>
      </c>
      <c r="C43" s="2" t="s">
        <v>11</v>
      </c>
      <c r="D43" s="3">
        <v>4700</v>
      </c>
    </row>
    <row r="44">
      <c r="A44" s="2" t="s">
        <v>14</v>
      </c>
      <c r="B44" s="2" t="s">
        <v>6</v>
      </c>
      <c r="C44" s="2" t="s">
        <v>8</v>
      </c>
      <c r="D44" s="3">
        <v>14500</v>
      </c>
    </row>
    <row r="45">
      <c r="A45" s="2" t="s">
        <v>14</v>
      </c>
      <c r="B45" s="2" t="s">
        <v>6</v>
      </c>
      <c r="C45" s="2" t="s">
        <v>9</v>
      </c>
      <c r="D45" s="3">
        <v>6600</v>
      </c>
    </row>
    <row r="46">
      <c r="A46" s="2" t="s">
        <v>14</v>
      </c>
      <c r="B46" s="2" t="s">
        <v>6</v>
      </c>
      <c r="C46" s="2" t="s">
        <v>11</v>
      </c>
      <c r="D46" s="3">
        <v>2600</v>
      </c>
    </row>
    <row r="47">
      <c r="A47" s="2" t="s">
        <v>15</v>
      </c>
      <c r="B47" s="2" t="s">
        <v>4</v>
      </c>
      <c r="C47" s="2" t="s">
        <v>8</v>
      </c>
      <c r="D47" s="3">
        <v>16900</v>
      </c>
    </row>
    <row r="48">
      <c r="A48" s="2" t="s">
        <v>15</v>
      </c>
      <c r="B48" s="2" t="s">
        <v>4</v>
      </c>
      <c r="C48" s="2" t="s">
        <v>9</v>
      </c>
      <c r="D48" s="3">
        <v>7800</v>
      </c>
    </row>
    <row r="49">
      <c r="A49" s="2" t="s">
        <v>15</v>
      </c>
      <c r="B49" s="2" t="s">
        <v>4</v>
      </c>
      <c r="C49" s="2" t="s">
        <v>11</v>
      </c>
      <c r="D49" s="3">
        <v>3100</v>
      </c>
    </row>
    <row r="50">
      <c r="A50" s="2" t="s">
        <v>15</v>
      </c>
      <c r="B50" s="2" t="s">
        <v>5</v>
      </c>
      <c r="C50" s="2" t="s">
        <v>8</v>
      </c>
      <c r="D50" s="3">
        <v>21100</v>
      </c>
    </row>
    <row r="51">
      <c r="A51" s="2" t="s">
        <v>15</v>
      </c>
      <c r="B51" s="2" t="s">
        <v>5</v>
      </c>
      <c r="C51" s="2" t="s">
        <v>9</v>
      </c>
      <c r="D51" s="3">
        <v>10200</v>
      </c>
    </row>
    <row r="52">
      <c r="A52" s="2" t="s">
        <v>15</v>
      </c>
      <c r="B52" s="2" t="s">
        <v>5</v>
      </c>
      <c r="C52" s="2" t="s">
        <v>11</v>
      </c>
      <c r="D52" s="3">
        <v>5200</v>
      </c>
    </row>
    <row r="53">
      <c r="A53" s="2" t="s">
        <v>15</v>
      </c>
      <c r="B53" s="2" t="s">
        <v>6</v>
      </c>
      <c r="C53" s="2" t="s">
        <v>8</v>
      </c>
      <c r="D53" s="3">
        <v>14100</v>
      </c>
    </row>
    <row r="54">
      <c r="A54" s="2" t="s">
        <v>15</v>
      </c>
      <c r="B54" s="2" t="s">
        <v>6</v>
      </c>
      <c r="C54" s="2" t="s">
        <v>9</v>
      </c>
      <c r="D54" s="3">
        <v>7100</v>
      </c>
    </row>
    <row r="55">
      <c r="A55" s="2" t="s">
        <v>15</v>
      </c>
      <c r="B55" s="2" t="s">
        <v>6</v>
      </c>
      <c r="C55" s="2" t="s">
        <v>11</v>
      </c>
      <c r="D55" s="3">
        <v>2800</v>
      </c>
    </row>
  </sheetData>
  <autoFilter ref="A1:D55"/>
  <conditionalFormatting sqref="G2:I7">
    <cfRule type="cellIs" priority="1" dxfId="0" operator="greaterThan">
      <formula>G$9</formula>
    </cfRule>
  </conditionalFormatting>
  <conditionalFormatting sqref="G2:I7">
    <cfRule type="cellIs" priority="2" dxfId="1" operator="greaterThan">
      <formula>G$9</formula>
    </cfRule>
  </conditionalFormatting>
  <tableParts count="1">
    <tablePart r:id="rId1"/>
  </tableParts>
</worksheet>
</file>

<file path=xl/worksheets/sheet2.xml><?xml version="1.0" encoding="utf-8"?>
<worksheet xmlns:r="http://schemas.openxmlformats.org/officeDocument/2006/relationships" xmlns="http://schemas.openxmlformats.org/spreadsheetml/2006/main">
  <dimension ref="A1:E15"/>
  <cols>
    <col min="1" max="1" width="41" customWidth="1"/>
    <col min="2" max="2" width="26" customWidth="1"/>
    <col min="3" max="3" width="8" customWidth="1"/>
    <col min="4" max="4" width="32" customWidth="1"/>
    <col min="5" max="5" width="23" customWidth="1"/>
  </cols>
  <sheetData>
    <row r="1">
      <c r="A1" t="s">
        <v>18</v>
      </c>
      <c r="B1" t="s">
        <v>19</v>
      </c>
      <c r="C1" t="s">
        <v>20</v>
      </c>
      <c r="D1" t="s">
        <v>21</v>
      </c>
      <c r="E1">
        <f>SUM(Personale!H2:H8)</f>
      </c>
    </row>
    <row r="2">
      <c r="A2" t="s">
        <v>20</v>
      </c>
      <c r="B2" t="s">
        <v>20</v>
      </c>
      <c r="C2" t="s">
        <v>20</v>
      </c>
      <c r="D2" t="s">
        <v>22</v>
      </c>
      <c r="E2">
        <f>D1/Vendite!J9</f>
      </c>
    </row>
    <row r="3">
      <c r="A3" t="s">
        <v>23</v>
      </c>
      <c r="B3">
        <f>Vendite!J9</f>
      </c>
      <c r="C3" t="s">
        <v>20</v>
      </c>
      <c r="D3" t="s">
        <v>20</v>
      </c>
      <c r="E3" t="s">
        <v>20</v>
      </c>
    </row>
    <row r="4">
      <c r="A4" t="s">
        <v>24</v>
      </c>
      <c r="B4" t="s">
        <v>20</v>
      </c>
      <c r="C4" t="s">
        <v>20</v>
      </c>
      <c r="D4" t="s">
        <v>20</v>
      </c>
      <c r="E4" t="s">
        <v>20</v>
      </c>
    </row>
    <row r="5">
      <c r="A5" t="s">
        <v>4</v>
      </c>
      <c r="B5">
        <f>Vendite!G9</f>
      </c>
      <c r="C5" t="s">
        <v>20</v>
      </c>
      <c r="D5" t="s">
        <v>20</v>
      </c>
      <c r="E5" t="s">
        <v>20</v>
      </c>
    </row>
    <row r="6">
      <c r="A6" t="s">
        <v>5</v>
      </c>
      <c r="B6">
        <f>Vendite!H9</f>
      </c>
      <c r="C6" t="s">
        <v>20</v>
      </c>
      <c r="D6" t="s">
        <v>20</v>
      </c>
      <c r="E6" t="s">
        <v>20</v>
      </c>
    </row>
    <row r="7">
      <c r="A7" t="s">
        <v>6</v>
      </c>
      <c r="B7">
        <f>Vendite!I9</f>
      </c>
      <c r="C7" t="s">
        <v>20</v>
      </c>
      <c r="D7" t="s">
        <v>20</v>
      </c>
      <c r="E7" t="s">
        <v>20</v>
      </c>
    </row>
    <row r="8">
      <c r="A8" t="s">
        <v>25</v>
      </c>
      <c r="B8" t="s">
        <v>20</v>
      </c>
      <c r="C8" t="s">
        <v>20</v>
      </c>
      <c r="D8" t="s">
        <v>20</v>
      </c>
      <c r="E8" t="s">
        <v>20</v>
      </c>
    </row>
    <row r="9">
      <c r="A9" t="s">
        <v>4</v>
      </c>
      <c r="B9">
        <f>Vendite!G9/Vendite!J9</f>
      </c>
      <c r="C9" t="s">
        <v>20</v>
      </c>
      <c r="D9" t="s">
        <v>20</v>
      </c>
      <c r="E9" t="s">
        <v>20</v>
      </c>
    </row>
    <row r="10">
      <c r="A10" t="s">
        <v>5</v>
      </c>
      <c r="B10">
        <f>Vendite!H9/Vendite!J9</f>
      </c>
      <c r="C10" t="s">
        <v>20</v>
      </c>
      <c r="D10" t="s">
        <v>20</v>
      </c>
      <c r="E10" t="s">
        <v>20</v>
      </c>
    </row>
    <row r="11">
      <c r="A11" t="s">
        <v>6</v>
      </c>
      <c r="B11">
        <f>Vendite!I9/Vendite!J9</f>
      </c>
      <c r="C11" t="s">
        <v>20</v>
      </c>
      <c r="D11" t="s">
        <v>20</v>
      </c>
      <c r="E11" t="s">
        <v>20</v>
      </c>
    </row>
    <row r="12">
      <c r="A12" t="s">
        <v>20</v>
      </c>
      <c r="B12" t="s">
        <v>20</v>
      </c>
      <c r="C12" t="s">
        <v>20</v>
      </c>
      <c r="D12" t="s">
        <v>20</v>
      </c>
      <c r="E12" t="s">
        <v>20</v>
      </c>
    </row>
    <row r="13">
      <c r="A13" t="s">
        <v>26</v>
      </c>
      <c r="B13">
        <f>MAX(Vendite!G2:I7)</f>
      </c>
      <c r="C13" t="s">
        <v>20</v>
      </c>
      <c r="D13" t="s">
        <v>20</v>
      </c>
      <c r="E13" t="s">
        <v>20</v>
      </c>
    </row>
    <row r="14">
      <c r="A14" t="s">
        <v>20</v>
      </c>
      <c r="B14" t="s">
        <v>20</v>
      </c>
      <c r="C14" t="s">
        <v>20</v>
      </c>
      <c r="D14" t="s">
        <v>20</v>
      </c>
      <c r="E14" t="s">
        <v>20</v>
      </c>
    </row>
    <row r="15">
      <c r="A15" t="s">
        <v>27</v>
      </c>
      <c r="B15">
        <f>Vendite!J9*MargineLordo</f>
      </c>
      <c r="C15" t="s">
        <v>20</v>
      </c>
      <c r="D15" t="s">
        <v>20</v>
      </c>
      <c r="E15" t="s">
        <v>20</v>
      </c>
    </row>
  </sheetData>
</worksheet>
</file>

<file path=xl/worksheets/sheet3.xml><?xml version="1.0" encoding="utf-8"?>
<worksheet xmlns:r="http://schemas.openxmlformats.org/officeDocument/2006/relationships" xmlns="http://schemas.openxmlformats.org/spreadsheetml/2006/main">
  <dimension ref="A1:E9"/>
  <cols>
    <col min="1" max="1" width="19" customWidth="1"/>
    <col min="2" max="2" width="24" customWidth="1"/>
    <col min="3" max="3" width="12" customWidth="1"/>
    <col min="4" max="4" width="27" customWidth="1"/>
    <col min="5" max="5" width="22" customWidth="1"/>
  </cols>
  <sheetData>
    <row r="1">
      <c r="A1" t="s">
        <v>1</v>
      </c>
      <c r="B1" t="s">
        <v>28</v>
      </c>
      <c r="C1" t="s">
        <v>29</v>
      </c>
      <c r="D1" t="s">
        <v>30</v>
      </c>
      <c r="E1" t="s">
        <v>31</v>
      </c>
    </row>
    <row r="2">
      <c r="A2" t="s">
        <v>4</v>
      </c>
      <c r="B2" t="s">
        <v>32</v>
      </c>
      <c r="C2">
        <v>2</v>
      </c>
      <c r="D2">
        <v>1800</v>
      </c>
      <c r="E2">
        <f>C2*D2</f>
      </c>
    </row>
    <row r="3">
      <c r="A3" t="s">
        <v>4</v>
      </c>
      <c r="B3" t="s">
        <v>33</v>
      </c>
      <c r="C3">
        <v>1</v>
      </c>
      <c r="D3">
        <v>1900</v>
      </c>
      <c r="E3">
        <f>C3*D3</f>
      </c>
    </row>
    <row r="4">
      <c r="A4" t="s">
        <v>4</v>
      </c>
      <c r="B4" t="s">
        <v>34</v>
      </c>
      <c r="C4">
        <v>1</v>
      </c>
      <c r="D4">
        <v>1100</v>
      </c>
      <c r="E4">
        <f>C4*D4</f>
      </c>
    </row>
    <row r="5">
      <c r="A5" t="s">
        <v>5</v>
      </c>
      <c r="B5" t="s">
        <v>32</v>
      </c>
      <c r="C5">
        <v>3</v>
      </c>
      <c r="D5">
        <v>1850</v>
      </c>
      <c r="E5">
        <f>C5*D5</f>
      </c>
    </row>
    <row r="6">
      <c r="A6" t="s">
        <v>5</v>
      </c>
      <c r="B6" t="s">
        <v>33</v>
      </c>
      <c r="C6">
        <v>1</v>
      </c>
      <c r="D6">
        <v>2000</v>
      </c>
      <c r="E6">
        <f>C6*D6</f>
      </c>
    </row>
    <row r="7">
      <c r="A7" t="s">
        <v>5</v>
      </c>
      <c r="B7" t="s">
        <v>34</v>
      </c>
      <c r="C7">
        <v>1</v>
      </c>
      <c r="D7">
        <v>1200</v>
      </c>
      <c r="E7">
        <f>C7*D7</f>
      </c>
    </row>
    <row r="8">
      <c r="A8" t="s">
        <v>6</v>
      </c>
      <c r="B8" t="s">
        <v>32</v>
      </c>
      <c r="C8">
        <v>2</v>
      </c>
      <c r="D8">
        <v>1750</v>
      </c>
      <c r="E8">
        <f>C8*D8</f>
      </c>
    </row>
    <row r="9">
      <c r="A9" t="s">
        <v>6</v>
      </c>
      <c r="B9" t="s">
        <v>33</v>
      </c>
      <c r="C9">
        <v>1</v>
      </c>
      <c r="D9">
        <v>1850</v>
      </c>
      <c r="E9">
        <f>C9*D9</f>
      </c>
    </row>
  </sheetData>
</worksheet>
</file>

<file path=xl/worksheets/sheet4.xml><?xml version="1.0" encoding="utf-8"?>
<worksheet xmlns:r="http://schemas.openxmlformats.org/officeDocument/2006/relationships" xmlns="http://schemas.openxmlformats.org/spreadsheetml/2006/main">
  <sheetData/>
  <drawing r:id="rId1"/>
</worksheet>
</file>